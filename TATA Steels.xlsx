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Dashboard" sheetId="3" r:id="rId3"/>
  </sheets>
  <calcPr calcId="152511"/>
</workbook>
</file>

<file path=xl/calcChain.xml><?xml version="1.0" encoding="utf-8"?>
<calcChain xmlns="http://schemas.openxmlformats.org/spreadsheetml/2006/main">
  <c r="I22" i="1" l="1"/>
  <c r="I21" i="1"/>
  <c r="I20" i="1"/>
  <c r="I19" i="1"/>
  <c r="I18" i="1"/>
  <c r="I17" i="1"/>
  <c r="B8" i="1" l="1"/>
  <c r="I16" i="1"/>
  <c r="I15" i="1"/>
  <c r="I14" i="1"/>
  <c r="I13" i="1"/>
  <c r="C6" i="3" l="1"/>
  <c r="D6" i="3" s="1"/>
  <c r="C6" i="2"/>
  <c r="D13" i="2" l="1"/>
  <c r="E13" i="2"/>
  <c r="C13" i="2"/>
  <c r="C15" i="2" l="1"/>
  <c r="C14" i="2"/>
  <c r="C7" i="3" s="1"/>
  <c r="D7" i="3" s="1"/>
  <c r="E15" i="2"/>
  <c r="E14" i="2"/>
  <c r="C8" i="3" s="1"/>
  <c r="D8" i="3" s="1"/>
  <c r="D15" i="2"/>
  <c r="D14" i="2"/>
</calcChain>
</file>

<file path=xl/sharedStrings.xml><?xml version="1.0" encoding="utf-8"?>
<sst xmlns="http://schemas.openxmlformats.org/spreadsheetml/2006/main" count="85" uniqueCount="54">
  <si>
    <t>TATA STEELS CARBON FOOTPRINT &amp; ESG STRESS TESTING TOOL.</t>
  </si>
  <si>
    <t>TATA STEEL - CARBON EMISSION TRACKER (FY2025-26)</t>
  </si>
  <si>
    <t xml:space="preserve">Total CO2 Emission Factor (MT)   </t>
  </si>
  <si>
    <t>Emission Intensity(t CO2 / t Steel)</t>
  </si>
  <si>
    <t>YoY Emission Change (%)</t>
  </si>
  <si>
    <t>Month</t>
  </si>
  <si>
    <t>Plant Location</t>
  </si>
  <si>
    <t>Scope Type</t>
  </si>
  <si>
    <t>Emission sources</t>
  </si>
  <si>
    <t>Activity Data (Quantity)</t>
  </si>
  <si>
    <t>Unit</t>
  </si>
  <si>
    <t>Emission Factor</t>
  </si>
  <si>
    <t>Calculated CO2 (MT)</t>
  </si>
  <si>
    <t>April</t>
  </si>
  <si>
    <t>Jamshedpur</t>
  </si>
  <si>
    <t>Coal Consumption</t>
  </si>
  <si>
    <t>Tons</t>
  </si>
  <si>
    <t>Scope 2</t>
  </si>
  <si>
    <t>Scope 1</t>
  </si>
  <si>
    <t>Grid Electricity</t>
  </si>
  <si>
    <t>MWH</t>
  </si>
  <si>
    <t>Scope 3</t>
  </si>
  <si>
    <t>Supply Chain Logistics</t>
  </si>
  <si>
    <t>t.km</t>
  </si>
  <si>
    <t xml:space="preserve">Scope 1 </t>
  </si>
  <si>
    <t>Diesel Generators</t>
  </si>
  <si>
    <t>Liters</t>
  </si>
  <si>
    <t>Tata Steel - Carbon Stress Testing Scenario Engine</t>
  </si>
  <si>
    <t>Financial Metric</t>
  </si>
  <si>
    <t>Baseline Value</t>
  </si>
  <si>
    <t>Total Carbon Emission (MT)</t>
  </si>
  <si>
    <t>Current EBITDA (Cr.)</t>
  </si>
  <si>
    <t>Scenario Case</t>
  </si>
  <si>
    <t>Carbon Tax Per Ton ($)</t>
  </si>
  <si>
    <t>Total Tax Liability (Cr.)</t>
  </si>
  <si>
    <t>Adjusted EBITDA (Cr.)</t>
  </si>
  <si>
    <t>Profit Drop (%)</t>
  </si>
  <si>
    <t>Base Case</t>
  </si>
  <si>
    <t>Moderate Stress</t>
  </si>
  <si>
    <t>Severe Stress</t>
  </si>
  <si>
    <t>TATA STEEL - EXECUTIVE ESG &amp; CARBON RISK DASHBOARD</t>
  </si>
  <si>
    <t>Risk Indicator</t>
  </si>
  <si>
    <t>Current Value</t>
  </si>
  <si>
    <t>Risk Status</t>
  </si>
  <si>
    <t>Total Carbon Footprint</t>
  </si>
  <si>
    <t>Base Case Adjusted EBITDA (Cr.)</t>
  </si>
  <si>
    <t>Severe Case Adjusted EBITDA</t>
  </si>
  <si>
    <t>Kalinganagar</t>
  </si>
  <si>
    <t>Meramandali</t>
  </si>
  <si>
    <t>Raw Material Frieght</t>
  </si>
  <si>
    <t>Natural Gas Burned</t>
  </si>
  <si>
    <t>Employee Commute</t>
  </si>
  <si>
    <t>m3</t>
  </si>
  <si>
    <r>
      <t xml:space="preserve">Objective: </t>
    </r>
    <r>
      <rPr>
        <sz val="16"/>
        <color theme="1"/>
        <rFont val="Calibri"/>
        <family val="2"/>
        <scheme val="minor"/>
      </rPr>
      <t xml:space="preserve">This sheet captures operational activity data across Scope1, Scope2, Scope3 for Tata Steel's core manufacturing units. Use the </t>
    </r>
    <r>
      <rPr>
        <b/>
        <sz val="16"/>
        <color theme="1"/>
        <rFont val="Calibri"/>
        <family val="2"/>
        <scheme val="minor"/>
      </rPr>
      <t>dropdown in cell K3</t>
    </r>
    <r>
      <rPr>
        <sz val="16"/>
        <color theme="1"/>
        <rFont val="Calibri"/>
        <family val="2"/>
        <scheme val="minor"/>
      </rPr>
      <t xml:space="preserve"> to dynamically filter real time emission footprints</t>
    </r>
    <r>
      <rPr>
        <sz val="14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</si>
</sst>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6"/>
      <color theme="1"/>
      <name val="Segoe UI"/>
      <family val="2"/>
    </font>
    <font>
      <b/>
      <sz val="1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Segoe UI"/>
      <family val="2"/>
    </font>
    <font>
      <b/>
      <sz val="24"/>
      <color theme="0"/>
      <name val="Cambria"/>
      <family val="1"/>
      <scheme val="major"/>
    </font>
    <font>
      <b/>
      <sz val="24"/>
      <color theme="1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97D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0" fillId="0" borderId="1" xfId="0" applyBorder="1"/>
    <xf numFmtId="0" fontId="5" fillId="3" borderId="1" xfId="0" applyFont="1" applyFill="1" applyBorder="1"/>
    <xf numFmtId="0" fontId="0" fillId="4" borderId="1" xfId="0" applyFill="1" applyBorder="1"/>
    <xf numFmtId="0" fontId="0" fillId="4" borderId="1" xfId="0" applyFont="1" applyFill="1" applyBorder="1"/>
    <xf numFmtId="10" fontId="0" fillId="4" borderId="1" xfId="1" applyNumberFormat="1" applyFont="1" applyFill="1" applyBorder="1"/>
    <xf numFmtId="0" fontId="0" fillId="5" borderId="1" xfId="0" applyFill="1" applyBorder="1"/>
    <xf numFmtId="0" fontId="2" fillId="2" borderId="2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>
      <alignment horizontal="center" vertical="center"/>
    </xf>
    <xf numFmtId="0" fontId="2" fillId="2" borderId="5" xfId="0" applyNumberFormat="1" applyFont="1" applyFill="1" applyBorder="1" applyAlignment="1">
      <alignment horizontal="center" vertical="center"/>
    </xf>
    <xf numFmtId="0" fontId="2" fillId="2" borderId="6" xfId="0" applyNumberFormat="1" applyFont="1" applyFill="1" applyBorder="1" applyAlignment="1">
      <alignment horizontal="center" vertical="center"/>
    </xf>
    <xf numFmtId="0" fontId="2" fillId="2" borderId="7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0" fontId="3" fillId="2" borderId="1" xfId="0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4" borderId="1" xfId="0" applyFont="1" applyFill="1" applyBorder="1"/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6" borderId="0" xfId="0" applyFont="1" applyFill="1" applyAlignment="1">
      <alignment horizontal="left" vertical="center"/>
    </xf>
    <xf numFmtId="0" fontId="14" fillId="6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1" fillId="0" borderId="8" xfId="0" applyFont="1" applyBorder="1" applyAlignment="1">
      <alignment vertical="top" wrapText="1"/>
    </xf>
    <xf numFmtId="0" fontId="11" fillId="0" borderId="9" xfId="0" applyFont="1" applyBorder="1" applyAlignment="1">
      <alignment vertical="top" wrapText="1"/>
    </xf>
    <xf numFmtId="0" fontId="11" fillId="0" borderId="10" xfId="0" applyFont="1" applyBorder="1" applyAlignment="1">
      <alignment vertical="top" wrapText="1"/>
    </xf>
    <xf numFmtId="0" fontId="11" fillId="0" borderId="11" xfId="0" applyFont="1" applyBorder="1" applyAlignment="1">
      <alignment vertical="top" wrapText="1"/>
    </xf>
    <xf numFmtId="0" fontId="11" fillId="0" borderId="12" xfId="0" applyFont="1" applyBorder="1" applyAlignment="1">
      <alignment vertical="top" wrapText="1"/>
    </xf>
    <xf numFmtId="0" fontId="11" fillId="0" borderId="13" xfId="0" applyFont="1" applyBorder="1" applyAlignment="1">
      <alignment vertical="top" wrapText="1"/>
    </xf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Medium9"/>
  <colors>
    <mruColors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EBITDA Impact Analysis under Stress Scenario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Sheet2!$C$11</c:f>
              <c:strCache>
                <c:ptCount val="1"/>
                <c:pt idx="0">
                  <c:v>Base Case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Sheet2!$B$14</c:f>
              <c:strCache>
                <c:ptCount val="1"/>
                <c:pt idx="0">
                  <c:v>Adjusted EBITDA (Cr.)</c:v>
                </c:pt>
              </c:strCache>
            </c:strRef>
          </c:cat>
          <c:val>
            <c:numRef>
              <c:f>Sheet2!$C$14</c:f>
              <c:numCache>
                <c:formatCode>General</c:formatCode>
                <c:ptCount val="1"/>
                <c:pt idx="0">
                  <c:v>14947.302</c:v>
                </c:pt>
              </c:numCache>
            </c:numRef>
          </c:val>
        </c:ser>
        <c:ser>
          <c:idx val="1"/>
          <c:order val="1"/>
          <c:tx>
            <c:strRef>
              <c:f>Sheet2!$D$11</c:f>
              <c:strCache>
                <c:ptCount val="1"/>
                <c:pt idx="0">
                  <c:v>Moderate Stress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Sheet2!$B$14</c:f>
              <c:strCache>
                <c:ptCount val="1"/>
                <c:pt idx="0">
                  <c:v>Adjusted EBITDA (Cr.)</c:v>
                </c:pt>
              </c:strCache>
            </c:strRef>
          </c:cat>
          <c:val>
            <c:numRef>
              <c:f>Sheet2!$D$14</c:f>
              <c:numCache>
                <c:formatCode>General</c:formatCode>
                <c:ptCount val="1"/>
                <c:pt idx="0">
                  <c:v>14868.254999999999</c:v>
                </c:pt>
              </c:numCache>
            </c:numRef>
          </c:val>
        </c:ser>
        <c:ser>
          <c:idx val="2"/>
          <c:order val="2"/>
          <c:tx>
            <c:strRef>
              <c:f>Sheet2!$E$11</c:f>
              <c:strCache>
                <c:ptCount val="1"/>
                <c:pt idx="0">
                  <c:v>Severe Stress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Sheet2!$B$14</c:f>
              <c:strCache>
                <c:ptCount val="1"/>
                <c:pt idx="0">
                  <c:v>Adjusted EBITDA (Cr.)</c:v>
                </c:pt>
              </c:strCache>
            </c:strRef>
          </c:cat>
          <c:val>
            <c:numRef>
              <c:f>Sheet2!$E$14</c:f>
              <c:numCache>
                <c:formatCode>General</c:formatCode>
                <c:ptCount val="1"/>
                <c:pt idx="0">
                  <c:v>14736.51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1863024"/>
        <c:axId val="1091870096"/>
      </c:barChart>
      <c:catAx>
        <c:axId val="109186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870096"/>
        <c:crosses val="autoZero"/>
        <c:auto val="1"/>
        <c:lblAlgn val="ctr"/>
        <c:lblOffset val="100"/>
        <c:noMultiLvlLbl val="0"/>
      </c:catAx>
      <c:valAx>
        <c:axId val="109187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86302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Carbon Financial Risk Distribution.</a:t>
            </a:r>
          </a:p>
        </c:rich>
      </c:tx>
      <c:layout>
        <c:manualLayout>
          <c:xMode val="edge"/>
          <c:yMode val="edge"/>
          <c:x val="0.23837740636339133"/>
          <c:y val="3.43007927444370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997549920986207E-2"/>
          <c:y val="0.36558928266779145"/>
          <c:w val="0.59513546582064625"/>
          <c:h val="0.57152593063407398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Dashboard!$B$6:$B$8</c:f>
              <c:strCache>
                <c:ptCount val="3"/>
                <c:pt idx="0">
                  <c:v>Total Carbon Footprint</c:v>
                </c:pt>
                <c:pt idx="1">
                  <c:v>Base Case Adjusted EBITDA (Cr.)</c:v>
                </c:pt>
                <c:pt idx="2">
                  <c:v>Severe Case Adjusted EBITDA</c:v>
                </c:pt>
              </c:strCache>
            </c:strRef>
          </c:cat>
          <c:val>
            <c:numRef>
              <c:f>Dashboard!$C$6:$C$8</c:f>
              <c:numCache>
                <c:formatCode>General</c:formatCode>
                <c:ptCount val="3"/>
                <c:pt idx="0">
                  <c:v>26349</c:v>
                </c:pt>
                <c:pt idx="1">
                  <c:v>14947.302</c:v>
                </c:pt>
                <c:pt idx="2">
                  <c:v>14736.51</c:v>
                </c:pt>
              </c:numCache>
            </c:numRef>
          </c:val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063939647042663"/>
          <c:y val="0.4174669483934999"/>
          <c:w val="0.35109732519367809"/>
          <c:h val="0.4648123876810216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121920</xdr:colOff>
      <xdr:row>2</xdr:row>
      <xdr:rowOff>152400</xdr:rowOff>
    </xdr:from>
    <xdr:to>
      <xdr:col>11</xdr:col>
      <xdr:colOff>15240</xdr:colOff>
      <xdr:row>17</xdr:row>
      <xdr:rowOff>137160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169982</xdr:colOff>
      <xdr:row>2</xdr:row>
      <xdr:rowOff>158263</xdr:rowOff>
    </xdr:from>
    <xdr:to>
      <xdr:col>9</xdr:col>
      <xdr:colOff>609599</xdr:colOff>
      <xdr:row>12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"/>
  <sheetViews>
    <sheetView showGridLines="0" tabSelected="1" zoomScale="70" zoomScaleNormal="70" workbookViewId="0">
      <selection activeCell="L17" sqref="L17"/>
    </sheetView>
  </sheetViews>
  <sheetFormatPr defaultRowHeight="24.6" x14ac:dyDescent="0.55000000000000004"/>
  <cols>
    <col min="2" max="2" width="8.5546875" bestFit="1" customWidth="1"/>
    <col min="3" max="3" width="17" bestFit="1" customWidth="1"/>
    <col min="4" max="4" width="13.44140625" bestFit="1" customWidth="1"/>
    <col min="5" max="5" width="25.44140625" bestFit="1" customWidth="1"/>
    <col min="6" max="6" width="27.5546875" bestFit="1" customWidth="1"/>
    <col min="7" max="7" width="7.33203125" bestFit="1" customWidth="1"/>
    <col min="8" max="8" width="18.5546875" bestFit="1" customWidth="1"/>
    <col min="9" max="9" width="24" bestFit="1" customWidth="1"/>
    <col min="11" max="11" width="22.77734375" style="1" bestFit="1" customWidth="1"/>
  </cols>
  <sheetData>
    <row r="1" spans="1:25" s="27" customFormat="1" ht="14.4" x14ac:dyDescent="0.3">
      <c r="A1" s="26" t="s">
        <v>0</v>
      </c>
    </row>
    <row r="2" spans="1:25" s="27" customFormat="1" ht="14.4" x14ac:dyDescent="0.3"/>
    <row r="3" spans="1:25" ht="30" thickBot="1" x14ac:dyDescent="0.7">
      <c r="B3" s="24" t="s">
        <v>1</v>
      </c>
      <c r="C3" s="24"/>
      <c r="D3" s="24"/>
      <c r="E3" s="24"/>
      <c r="F3" s="24"/>
      <c r="G3" s="24"/>
      <c r="H3" s="24"/>
      <c r="I3" s="24"/>
      <c r="J3" s="24"/>
      <c r="K3" s="25" t="s">
        <v>47</v>
      </c>
    </row>
    <row r="4" spans="1:25" ht="24.6" customHeight="1" x14ac:dyDescent="0.3">
      <c r="B4" s="32" t="s">
        <v>53</v>
      </c>
      <c r="C4" s="33"/>
      <c r="D4" s="33"/>
      <c r="E4" s="33"/>
      <c r="F4" s="33"/>
      <c r="G4" s="33"/>
      <c r="H4" s="33"/>
      <c r="I4" s="33"/>
      <c r="J4" s="33"/>
      <c r="K4" s="33"/>
      <c r="L4" s="34"/>
      <c r="M4" s="31"/>
      <c r="N4" s="29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</row>
    <row r="5" spans="1:25" ht="24.6" customHeight="1" thickBot="1" x14ac:dyDescent="0.35">
      <c r="B5" s="35"/>
      <c r="C5" s="36"/>
      <c r="D5" s="36"/>
      <c r="E5" s="36"/>
      <c r="F5" s="36"/>
      <c r="G5" s="36"/>
      <c r="H5" s="36"/>
      <c r="I5" s="36"/>
      <c r="J5" s="36"/>
      <c r="K5" s="36"/>
      <c r="L5" s="37"/>
      <c r="M5" s="31"/>
      <c r="N5" s="30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</row>
    <row r="6" spans="1:25" ht="24.6" customHeight="1" x14ac:dyDescent="0.3">
      <c r="B6" s="30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0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</row>
    <row r="7" spans="1:25" ht="24.6" customHeight="1" x14ac:dyDescent="0.3">
      <c r="B7" s="20" t="s">
        <v>2</v>
      </c>
      <c r="C7" s="21"/>
      <c r="D7" s="22"/>
      <c r="F7" s="23" t="s">
        <v>3</v>
      </c>
      <c r="G7" s="23"/>
      <c r="H7" s="23"/>
      <c r="J7" s="23" t="s">
        <v>4</v>
      </c>
      <c r="K7" s="23"/>
      <c r="L7" s="23"/>
    </row>
    <row r="8" spans="1:25" ht="24.6" customHeight="1" x14ac:dyDescent="0.3">
      <c r="B8" s="8">
        <f>IF(K3="All Plants", SUM(I13:I102), SUMIFS(I13:I102, C13:C102, K3))</f>
        <v>26349</v>
      </c>
      <c r="C8" s="9"/>
      <c r="D8" s="10"/>
      <c r="F8" s="14">
        <v>1.82</v>
      </c>
      <c r="G8" s="14"/>
      <c r="H8" s="14"/>
      <c r="J8" s="15">
        <v>4.4999999999999998E-2</v>
      </c>
      <c r="K8" s="14"/>
      <c r="L8" s="14"/>
    </row>
    <row r="9" spans="1:25" ht="24.6" customHeight="1" x14ac:dyDescent="0.3">
      <c r="B9" s="11"/>
      <c r="C9" s="12"/>
      <c r="D9" s="13"/>
      <c r="F9" s="14"/>
      <c r="G9" s="14"/>
      <c r="H9" s="14"/>
      <c r="J9" s="14"/>
      <c r="K9" s="14"/>
      <c r="L9" s="14"/>
    </row>
    <row r="12" spans="1:25" x14ac:dyDescent="0.55000000000000004">
      <c r="B12" s="18" t="s">
        <v>5</v>
      </c>
      <c r="C12" s="18" t="s">
        <v>6</v>
      </c>
      <c r="D12" s="18" t="s">
        <v>7</v>
      </c>
      <c r="E12" s="18" t="s">
        <v>8</v>
      </c>
      <c r="F12" s="18" t="s">
        <v>9</v>
      </c>
      <c r="G12" s="18" t="s">
        <v>10</v>
      </c>
      <c r="H12" s="18" t="s">
        <v>11</v>
      </c>
      <c r="I12" s="18" t="s">
        <v>12</v>
      </c>
    </row>
    <row r="13" spans="1:25" x14ac:dyDescent="0.55000000000000004">
      <c r="B13" s="19" t="s">
        <v>13</v>
      </c>
      <c r="C13" s="19" t="s">
        <v>14</v>
      </c>
      <c r="D13" s="19" t="s">
        <v>18</v>
      </c>
      <c r="E13" s="19" t="s">
        <v>15</v>
      </c>
      <c r="F13" s="19">
        <v>5000</v>
      </c>
      <c r="G13" s="19" t="s">
        <v>16</v>
      </c>
      <c r="H13" s="19">
        <v>2.42</v>
      </c>
      <c r="I13" s="19">
        <f t="shared" ref="I13:I22" si="0">F13*H13</f>
        <v>12100</v>
      </c>
      <c r="J13" s="1"/>
      <c r="K13"/>
    </row>
    <row r="14" spans="1:25" x14ac:dyDescent="0.55000000000000004">
      <c r="B14" s="19" t="s">
        <v>13</v>
      </c>
      <c r="C14" s="19" t="s">
        <v>14</v>
      </c>
      <c r="D14" s="19" t="s">
        <v>17</v>
      </c>
      <c r="E14" s="19" t="s">
        <v>19</v>
      </c>
      <c r="F14" s="19">
        <v>25000</v>
      </c>
      <c r="G14" s="19" t="s">
        <v>20</v>
      </c>
      <c r="H14" s="19">
        <v>0.82</v>
      </c>
      <c r="I14" s="19">
        <f t="shared" si="0"/>
        <v>20500</v>
      </c>
    </row>
    <row r="15" spans="1:25" x14ac:dyDescent="0.55000000000000004">
      <c r="B15" s="19" t="s">
        <v>13</v>
      </c>
      <c r="C15" s="19" t="s">
        <v>14</v>
      </c>
      <c r="D15" s="19" t="s">
        <v>21</v>
      </c>
      <c r="E15" s="19" t="s">
        <v>22</v>
      </c>
      <c r="F15" s="19">
        <v>15000</v>
      </c>
      <c r="G15" s="19" t="s">
        <v>23</v>
      </c>
      <c r="H15" s="19">
        <v>0.15</v>
      </c>
      <c r="I15" s="19">
        <f t="shared" si="0"/>
        <v>2250</v>
      </c>
    </row>
    <row r="16" spans="1:25" x14ac:dyDescent="0.55000000000000004">
      <c r="B16" s="19" t="s">
        <v>13</v>
      </c>
      <c r="C16" s="19" t="s">
        <v>14</v>
      </c>
      <c r="D16" s="19" t="s">
        <v>24</v>
      </c>
      <c r="E16" s="19" t="s">
        <v>25</v>
      </c>
      <c r="F16" s="19">
        <v>2000</v>
      </c>
      <c r="G16" s="19" t="s">
        <v>26</v>
      </c>
      <c r="H16" s="19">
        <v>2.68</v>
      </c>
      <c r="I16" s="19">
        <f t="shared" si="0"/>
        <v>5360</v>
      </c>
    </row>
    <row r="17" spans="2:11" x14ac:dyDescent="0.55000000000000004">
      <c r="B17" s="19" t="s">
        <v>13</v>
      </c>
      <c r="C17" s="19" t="s">
        <v>47</v>
      </c>
      <c r="D17" s="19" t="s">
        <v>24</v>
      </c>
      <c r="E17" s="19" t="s">
        <v>15</v>
      </c>
      <c r="F17" s="19">
        <v>4200</v>
      </c>
      <c r="G17" s="19" t="s">
        <v>16</v>
      </c>
      <c r="H17" s="19">
        <v>2.42</v>
      </c>
      <c r="I17" s="19">
        <f t="shared" si="0"/>
        <v>10164</v>
      </c>
      <c r="J17" s="1"/>
      <c r="K17"/>
    </row>
    <row r="18" spans="2:11" x14ac:dyDescent="0.55000000000000004">
      <c r="B18" s="19" t="s">
        <v>13</v>
      </c>
      <c r="C18" s="19" t="s">
        <v>47</v>
      </c>
      <c r="D18" s="19" t="s">
        <v>17</v>
      </c>
      <c r="E18" s="19" t="s">
        <v>19</v>
      </c>
      <c r="F18" s="19">
        <v>18000</v>
      </c>
      <c r="G18" s="19" t="s">
        <v>20</v>
      </c>
      <c r="H18" s="19">
        <v>0.82</v>
      </c>
      <c r="I18" s="19">
        <f t="shared" si="0"/>
        <v>14760</v>
      </c>
      <c r="J18" s="1"/>
      <c r="K18"/>
    </row>
    <row r="19" spans="2:11" x14ac:dyDescent="0.55000000000000004">
      <c r="B19" s="19" t="s">
        <v>13</v>
      </c>
      <c r="C19" s="19" t="s">
        <v>47</v>
      </c>
      <c r="D19" s="19" t="s">
        <v>21</v>
      </c>
      <c r="E19" s="19" t="s">
        <v>49</v>
      </c>
      <c r="F19" s="19">
        <v>9500</v>
      </c>
      <c r="G19" s="19" t="s">
        <v>23</v>
      </c>
      <c r="H19" s="19">
        <v>0.15</v>
      </c>
      <c r="I19" s="19">
        <f t="shared" si="0"/>
        <v>1425</v>
      </c>
    </row>
    <row r="20" spans="2:11" x14ac:dyDescent="0.55000000000000004">
      <c r="B20" s="19" t="s">
        <v>13</v>
      </c>
      <c r="C20" s="19" t="s">
        <v>48</v>
      </c>
      <c r="D20" s="19" t="s">
        <v>18</v>
      </c>
      <c r="E20" s="19" t="s">
        <v>50</v>
      </c>
      <c r="F20" s="19">
        <v>3100</v>
      </c>
      <c r="G20" s="19" t="s">
        <v>52</v>
      </c>
      <c r="H20" s="19">
        <v>1.9</v>
      </c>
      <c r="I20" s="19">
        <f t="shared" si="0"/>
        <v>5890</v>
      </c>
    </row>
    <row r="21" spans="2:11" x14ac:dyDescent="0.55000000000000004">
      <c r="B21" s="19" t="s">
        <v>13</v>
      </c>
      <c r="C21" s="19" t="s">
        <v>48</v>
      </c>
      <c r="D21" s="19" t="s">
        <v>17</v>
      </c>
      <c r="E21" s="19" t="s">
        <v>19</v>
      </c>
      <c r="F21" s="19">
        <v>12000</v>
      </c>
      <c r="G21" s="19" t="s">
        <v>20</v>
      </c>
      <c r="H21" s="19">
        <v>0.82</v>
      </c>
      <c r="I21" s="19">
        <f t="shared" si="0"/>
        <v>9840</v>
      </c>
    </row>
    <row r="22" spans="2:11" x14ac:dyDescent="0.55000000000000004">
      <c r="B22" s="19" t="s">
        <v>13</v>
      </c>
      <c r="C22" s="19" t="s">
        <v>48</v>
      </c>
      <c r="D22" s="19" t="s">
        <v>21</v>
      </c>
      <c r="E22" s="19" t="s">
        <v>51</v>
      </c>
      <c r="F22" s="19">
        <v>4000</v>
      </c>
      <c r="G22" s="19" t="s">
        <v>23</v>
      </c>
      <c r="H22" s="19">
        <v>0.15</v>
      </c>
      <c r="I22" s="19">
        <f t="shared" si="0"/>
        <v>600</v>
      </c>
    </row>
  </sheetData>
  <mergeCells count="10">
    <mergeCell ref="A1:XFD2"/>
    <mergeCell ref="B7:D7"/>
    <mergeCell ref="B8:D9"/>
    <mergeCell ref="F7:H7"/>
    <mergeCell ref="F8:H9"/>
    <mergeCell ref="J7:L7"/>
    <mergeCell ref="J8:L9"/>
    <mergeCell ref="B3:J3"/>
    <mergeCell ref="N4:Y4"/>
    <mergeCell ref="B4:L5"/>
  </mergeCells>
  <dataValidations count="1">
    <dataValidation type="list" allowBlank="1" showInputMessage="1" showErrorMessage="1" sqref="L14:L16 K3 K13 L10:L12 L19:L1048576 K17:K18 L1:L3">
      <formula1>"Jamshedpur, Kalinganagar, Meramandali, All Plants"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5"/>
  <sheetViews>
    <sheetView showGridLines="0" zoomScale="145" zoomScaleNormal="145" workbookViewId="0">
      <selection activeCell="C19" sqref="C19"/>
    </sheetView>
  </sheetViews>
  <sheetFormatPr defaultRowHeight="14.4" x14ac:dyDescent="0.3"/>
  <cols>
    <col min="2" max="2" width="23.6640625" bestFit="1" customWidth="1"/>
    <col min="3" max="3" width="12.77734375" bestFit="1" customWidth="1"/>
    <col min="4" max="4" width="14.44140625" bestFit="1" customWidth="1"/>
    <col min="5" max="5" width="11.6640625" bestFit="1" customWidth="1"/>
  </cols>
  <sheetData>
    <row r="2" spans="2:11" ht="21" x14ac:dyDescent="0.3">
      <c r="B2" s="17" t="s">
        <v>27</v>
      </c>
      <c r="C2" s="17"/>
      <c r="D2" s="17"/>
      <c r="E2" s="17"/>
      <c r="F2" s="17"/>
      <c r="G2" s="17"/>
      <c r="H2" s="17"/>
      <c r="I2" s="17"/>
      <c r="J2" s="17"/>
      <c r="K2" s="17"/>
    </row>
    <row r="5" spans="2:11" x14ac:dyDescent="0.3">
      <c r="B5" s="3" t="s">
        <v>28</v>
      </c>
      <c r="C5" s="3" t="s">
        <v>29</v>
      </c>
    </row>
    <row r="6" spans="2:11" x14ac:dyDescent="0.3">
      <c r="B6" s="4" t="s">
        <v>30</v>
      </c>
      <c r="C6" s="4">
        <f>Sheet1!B8</f>
        <v>26349</v>
      </c>
    </row>
    <row r="7" spans="2:11" x14ac:dyDescent="0.3">
      <c r="B7" s="4" t="s">
        <v>31</v>
      </c>
      <c r="C7" s="4">
        <v>15000</v>
      </c>
    </row>
    <row r="11" spans="2:11" x14ac:dyDescent="0.3">
      <c r="B11" s="3" t="s">
        <v>32</v>
      </c>
      <c r="C11" s="3" t="s">
        <v>37</v>
      </c>
      <c r="D11" s="3" t="s">
        <v>38</v>
      </c>
      <c r="E11" s="3" t="s">
        <v>39</v>
      </c>
    </row>
    <row r="12" spans="2:11" x14ac:dyDescent="0.3">
      <c r="B12" s="5" t="s">
        <v>33</v>
      </c>
      <c r="C12" s="5">
        <v>20</v>
      </c>
      <c r="D12" s="5">
        <v>50</v>
      </c>
      <c r="E12" s="5">
        <v>100</v>
      </c>
    </row>
    <row r="13" spans="2:11" x14ac:dyDescent="0.3">
      <c r="B13" s="5" t="s">
        <v>34</v>
      </c>
      <c r="C13" s="5">
        <f>(C$6*C12)/10000</f>
        <v>52.698</v>
      </c>
      <c r="D13" s="5">
        <f>(C$6*D12)/10000</f>
        <v>131.745</v>
      </c>
      <c r="E13" s="5">
        <f>(C$6*E12)/10000</f>
        <v>263.49</v>
      </c>
    </row>
    <row r="14" spans="2:11" x14ac:dyDescent="0.3">
      <c r="B14" s="5" t="s">
        <v>35</v>
      </c>
      <c r="C14" s="5">
        <f>C$7-C13</f>
        <v>14947.302</v>
      </c>
      <c r="D14" s="5">
        <f>C$7-D13</f>
        <v>14868.254999999999</v>
      </c>
      <c r="E14" s="5">
        <f>C$7-E13</f>
        <v>14736.51</v>
      </c>
    </row>
    <row r="15" spans="2:11" x14ac:dyDescent="0.3">
      <c r="B15" s="5" t="s">
        <v>36</v>
      </c>
      <c r="C15" s="6">
        <f>C13/C$7</f>
        <v>3.5132000000000002E-3</v>
      </c>
      <c r="D15" s="6">
        <f>D13/C$7</f>
        <v>8.7830000000000009E-3</v>
      </c>
      <c r="E15" s="6">
        <f>E13/C$7</f>
        <v>1.7566000000000002E-2</v>
      </c>
    </row>
  </sheetData>
  <mergeCells count="1">
    <mergeCell ref="B2:K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8"/>
  <sheetViews>
    <sheetView showGridLines="0" zoomScale="160" zoomScaleNormal="160" workbookViewId="0">
      <selection activeCell="F16" sqref="F16"/>
    </sheetView>
  </sheetViews>
  <sheetFormatPr defaultRowHeight="14.4" x14ac:dyDescent="0.3"/>
  <cols>
    <col min="2" max="2" width="27.44140625" bestFit="1" customWidth="1"/>
    <col min="3" max="3" width="12.109375" bestFit="1" customWidth="1"/>
    <col min="4" max="4" width="19.88671875" bestFit="1" customWidth="1"/>
  </cols>
  <sheetData>
    <row r="2" spans="2:10" ht="21" x14ac:dyDescent="0.4">
      <c r="B2" s="16" t="s">
        <v>40</v>
      </c>
      <c r="C2" s="16"/>
      <c r="D2" s="16"/>
      <c r="E2" s="16"/>
      <c r="F2" s="16"/>
      <c r="G2" s="16"/>
      <c r="H2" s="16"/>
      <c r="I2" s="16"/>
      <c r="J2" s="16"/>
    </row>
    <row r="5" spans="2:10" x14ac:dyDescent="0.3">
      <c r="B5" s="3" t="s">
        <v>41</v>
      </c>
      <c r="C5" s="3" t="s">
        <v>42</v>
      </c>
      <c r="D5" s="3" t="s">
        <v>43</v>
      </c>
    </row>
    <row r="6" spans="2:10" x14ac:dyDescent="0.3">
      <c r="B6" s="2" t="s">
        <v>44</v>
      </c>
      <c r="C6" s="2">
        <f>Sheet1!B8</f>
        <v>26349</v>
      </c>
      <c r="D6" s="7" t="str">
        <f>IF(C6&gt;30000,"High Emission Warning","Normal/Safe")</f>
        <v>Normal/Safe</v>
      </c>
    </row>
    <row r="7" spans="2:10" x14ac:dyDescent="0.3">
      <c r="B7" s="2" t="s">
        <v>45</v>
      </c>
      <c r="C7" s="2">
        <f>Sheet2!C14</f>
        <v>14947.302</v>
      </c>
      <c r="D7" s="2" t="str">
        <f>IF(C7&gt;14800,"Safe/Low Risk","Review Required")</f>
        <v>Safe/Low Risk</v>
      </c>
    </row>
    <row r="8" spans="2:10" x14ac:dyDescent="0.3">
      <c r="B8" s="2" t="s">
        <v>46</v>
      </c>
      <c r="C8" s="2">
        <f>Sheet2!E14</f>
        <v>14736.51</v>
      </c>
      <c r="D8" s="7" t="str">
        <f>IF(C8&gt;14600,"High Financial Risk","Manageable Risk")</f>
        <v>High Financial Risk</v>
      </c>
    </row>
  </sheetData>
  <mergeCells count="1">
    <mergeCell ref="B2:J2"/>
  </mergeCells>
  <conditionalFormatting sqref="D6:D8">
    <cfRule type="containsText" dxfId="3" priority="1" operator="containsText" text="Review">
      <formula>NOT(ISERROR(SEARCH("Review",D6)))</formula>
    </cfRule>
    <cfRule type="containsText" dxfId="2" priority="2" operator="containsText" text="Manageable">
      <formula>NOT(ISERROR(SEARCH("Manageable",D6)))</formula>
    </cfRule>
    <cfRule type="containsText" dxfId="1" priority="3" operator="containsText" text="Safe">
      <formula>NOT(ISERROR(SEARCH("Safe",D6)))</formula>
    </cfRule>
    <cfRule type="containsText" dxfId="0" priority="4" operator="containsText" text="High">
      <formula>NOT(ISERROR(SEARCH("High",D6)))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2026-07-17T12:54:56Z</dcterms:modified>
</cp:coreProperties>
</file>